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Geekbrains\Курс. Базы данных для аналитиков\ДЗ\HW2\"/>
    </mc:Choice>
  </mc:AlternateContent>
  <xr:revisionPtr revIDLastSave="0" documentId="13_ncr:1_{DB254997-930C-40E7-9AC0-60EB3FB8296D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ar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52" i="1" l="1"/>
  <c r="D53" i="1"/>
  <c r="D54" i="1"/>
  <c r="D55" i="1"/>
  <c r="D56" i="1"/>
  <c r="D57" i="1"/>
  <c r="D58" i="1"/>
  <c r="D59" i="1"/>
  <c r="D60" i="1"/>
  <c r="D61" i="1"/>
  <c r="D62" i="1"/>
  <c r="D51" i="1"/>
  <c r="C2" i="1" a="1"/>
  <c r="C2" i="1" s="1"/>
  <c r="D2" i="1" l="1"/>
  <c r="G31" i="1" s="1"/>
  <c r="G35" i="1" l="1"/>
  <c r="G26" i="1"/>
  <c r="H26" i="1" s="1"/>
  <c r="G15" i="1"/>
  <c r="H15" i="1" s="1"/>
  <c r="G39" i="1"/>
  <c r="G42" i="1"/>
  <c r="G7" i="1"/>
  <c r="H7" i="1" s="1"/>
  <c r="G10" i="1"/>
  <c r="H10" i="1" s="1"/>
  <c r="I10" i="1" s="1"/>
  <c r="G32" i="1"/>
  <c r="G21" i="1"/>
  <c r="H21" i="1" s="1"/>
  <c r="G22" i="1"/>
  <c r="H22" i="1" s="1"/>
  <c r="G36" i="1"/>
  <c r="G41" i="1"/>
  <c r="G18" i="1"/>
  <c r="H18" i="1" s="1"/>
  <c r="G9" i="1"/>
  <c r="H9" i="1" s="1"/>
  <c r="G19" i="1"/>
  <c r="H19" i="1" s="1"/>
  <c r="I7" i="1" s="1"/>
  <c r="G20" i="1"/>
  <c r="H20" i="1" s="1"/>
  <c r="G34" i="1"/>
  <c r="G29" i="1"/>
  <c r="H29" i="1" s="1"/>
  <c r="G8" i="1"/>
  <c r="H8" i="1" s="1"/>
  <c r="G24" i="1"/>
  <c r="H24" i="1" s="1"/>
  <c r="G17" i="1"/>
  <c r="H17" i="1" s="1"/>
  <c r="I17" i="1" s="1"/>
  <c r="G40" i="1"/>
  <c r="G23" i="1"/>
  <c r="H23" i="1" s="1"/>
  <c r="G38" i="1"/>
  <c r="G33" i="1"/>
  <c r="G12" i="1"/>
  <c r="H12" i="1" s="1"/>
  <c r="G28" i="1"/>
  <c r="H28" i="1" s="1"/>
  <c r="I9" i="1"/>
  <c r="G14" i="1"/>
  <c r="H14" i="1" s="1"/>
  <c r="I14" i="1" s="1"/>
  <c r="G30" i="1"/>
  <c r="H30" i="1" s="1"/>
  <c r="I18" i="1" s="1"/>
  <c r="G25" i="1"/>
  <c r="H25" i="1" s="1"/>
  <c r="G11" i="1"/>
  <c r="H11" i="1" s="1"/>
  <c r="I11" i="1" s="1"/>
  <c r="G27" i="1"/>
  <c r="H27" i="1" s="1"/>
  <c r="I15" i="1" s="1"/>
  <c r="G13" i="1"/>
  <c r="H13" i="1" s="1"/>
  <c r="G37" i="1"/>
  <c r="G16" i="1"/>
  <c r="H16" i="1" s="1"/>
  <c r="I16" i="1" s="1"/>
  <c r="I8" i="1" l="1"/>
  <c r="I12" i="1"/>
  <c r="I13" i="1"/>
  <c r="J7" i="1" s="1"/>
  <c r="K7" i="1" s="1"/>
  <c r="B31" i="1" s="1"/>
  <c r="K10" i="1" l="1"/>
  <c r="B34" i="1" s="1"/>
  <c r="K12" i="1"/>
  <c r="B36" i="1" s="1"/>
  <c r="K17" i="1"/>
  <c r="B41" i="1" s="1"/>
  <c r="K18" i="1"/>
  <c r="B42" i="1" s="1"/>
  <c r="K13" i="1"/>
  <c r="B37" i="1" s="1"/>
  <c r="K9" i="1"/>
  <c r="B33" i="1" s="1"/>
  <c r="K11" i="1"/>
  <c r="B35" i="1" s="1"/>
  <c r="K16" i="1"/>
  <c r="B40" i="1" s="1"/>
  <c r="K14" i="1"/>
  <c r="B38" i="1" s="1"/>
  <c r="K8" i="1"/>
  <c r="B32" i="1" s="1"/>
  <c r="K15" i="1"/>
  <c r="B39" i="1" s="1"/>
</calcChain>
</file>

<file path=xl/sharedStrings.xml><?xml version="1.0" encoding="utf-8"?>
<sst xmlns="http://schemas.openxmlformats.org/spreadsheetml/2006/main" count="29" uniqueCount="28">
  <si>
    <t>total</t>
  </si>
  <si>
    <t>o_date</t>
  </si>
  <si>
    <t>b</t>
  </si>
  <si>
    <t>k</t>
  </si>
  <si>
    <t>y=kx+b</t>
  </si>
  <si>
    <t>Значения тренда</t>
  </si>
  <si>
    <t>Отклонение от тренда</t>
  </si>
  <si>
    <t>Среднее отклонение для месяца</t>
  </si>
  <si>
    <t>Общий индекс сезонности</t>
  </si>
  <si>
    <t>К-ты сезонности</t>
  </si>
  <si>
    <t>Факт 2016-2017</t>
  </si>
  <si>
    <t>Прогноз 2018</t>
  </si>
  <si>
    <t>Факт 2018</t>
  </si>
  <si>
    <t>256798898</t>
  </si>
  <si>
    <t>232640416</t>
  </si>
  <si>
    <t>267994924</t>
  </si>
  <si>
    <t>262849522</t>
  </si>
  <si>
    <t>276933049</t>
  </si>
  <si>
    <t>251486085</t>
  </si>
  <si>
    <t>250559778</t>
  </si>
  <si>
    <t>261724749</t>
  </si>
  <si>
    <t>276675505</t>
  </si>
  <si>
    <t>287647539</t>
  </si>
  <si>
    <t>363102609</t>
  </si>
  <si>
    <t>422386052</t>
  </si>
  <si>
    <t>Отклонение факта от прогноза</t>
  </si>
  <si>
    <t>Вывод:</t>
  </si>
  <si>
    <t>Прогноз оказался завышенным в среднем на 16%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</si>
</sst>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_₽"/>
  </numFmts>
  <fonts count="4" x14ac:knownFonts="1">
    <font>
      <sz val="8.25"/>
      <color rgb="FF000000"/>
      <name val="Tahoma"/>
      <family val="2"/>
    </font>
    <font>
      <sz val="8.25"/>
      <color rgb="FF000000"/>
      <name val="Tahoma"/>
      <family val="2"/>
    </font>
    <font>
      <sz val="8.25"/>
      <color rgb="FF000000"/>
      <name val="Tahoma"/>
      <family val="2"/>
    </font>
    <font>
      <b/>
      <sz val="8.25"/>
      <color rgb="FF000000"/>
      <name val="Tahoma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4" borderId="1" xfId="0" applyFont="1" applyFill="1" applyBorder="1"/>
    <xf numFmtId="22" fontId="0" fillId="2" borderId="2" xfId="0" applyNumberFormat="1" applyFont="1" applyFill="1" applyBorder="1" applyAlignment="1">
      <alignment horizontal="left" vertical="top" wrapText="1"/>
    </xf>
    <xf numFmtId="22" fontId="1" fillId="3" borderId="2" xfId="0" applyNumberFormat="1" applyFont="1" applyFill="1" applyBorder="1" applyAlignment="1">
      <alignment horizontal="left" vertical="top" wrapText="1"/>
    </xf>
    <xf numFmtId="22" fontId="1" fillId="4" borderId="3" xfId="0" applyNumberFormat="1" applyFont="1" applyFill="1" applyBorder="1" applyAlignment="1">
      <alignment horizontal="left" vertical="top" wrapText="1"/>
    </xf>
    <xf numFmtId="22" fontId="0" fillId="4" borderId="3" xfId="0" applyNumberFormat="1" applyFill="1" applyBorder="1" applyAlignment="1">
      <alignment horizontal="left" vertical="top" wrapText="1"/>
    </xf>
    <xf numFmtId="164" fontId="0" fillId="0" borderId="0" xfId="0" applyNumberFormat="1"/>
    <xf numFmtId="0" fontId="0" fillId="0" borderId="0" xfId="0" applyAlignment="1">
      <alignment horizontal="left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6" borderId="0" xfId="0" applyFill="1" applyAlignment="1">
      <alignment vertical="center" textRotation="90"/>
    </xf>
    <xf numFmtId="164" fontId="1" fillId="4" borderId="7" xfId="0" applyNumberFormat="1" applyFont="1" applyFill="1" applyBorder="1" applyAlignment="1">
      <alignment horizontal="left" vertical="top" wrapText="1"/>
    </xf>
    <xf numFmtId="164" fontId="0" fillId="4" borderId="7" xfId="0" applyNumberFormat="1" applyFill="1" applyBorder="1" applyAlignment="1">
      <alignment horizontal="left" vertical="top" wrapText="1"/>
    </xf>
    <xf numFmtId="0" fontId="3" fillId="0" borderId="8" xfId="0" applyFont="1" applyBorder="1" applyAlignment="1">
      <alignment horizontal="center" vertical="center" textRotation="90"/>
    </xf>
    <xf numFmtId="0" fontId="3" fillId="0" borderId="9" xfId="0" applyFont="1" applyBorder="1" applyAlignment="1">
      <alignment horizontal="center" vertical="center" textRotation="90"/>
    </xf>
    <xf numFmtId="0" fontId="3" fillId="0" borderId="10" xfId="0" applyFont="1" applyBorder="1" applyAlignment="1">
      <alignment horizontal="center" vertical="center" textRotation="90"/>
    </xf>
    <xf numFmtId="164" fontId="0" fillId="5" borderId="0" xfId="0" applyNumberFormat="1" applyFill="1" applyAlignment="1">
      <alignment horizontal="left"/>
    </xf>
    <xf numFmtId="0" fontId="0" fillId="0" borderId="0" xfId="0" applyFill="1"/>
    <xf numFmtId="164" fontId="0" fillId="0" borderId="0" xfId="0" applyNumberFormat="1" applyFill="1"/>
    <xf numFmtId="0" fontId="3" fillId="5" borderId="9" xfId="0" applyFont="1" applyFill="1" applyBorder="1" applyAlignment="1">
      <alignment horizontal="center" vertical="center" textRotation="90"/>
    </xf>
    <xf numFmtId="0" fontId="3" fillId="5" borderId="10" xfId="0" applyFont="1" applyFill="1" applyBorder="1" applyAlignment="1">
      <alignment horizontal="center" vertical="center" textRotation="90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/>
    <xf numFmtId="9" fontId="0" fillId="0" borderId="0" xfId="0" applyNumberFormat="1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4"/>
  <sheetViews>
    <sheetView tabSelected="1" topLeftCell="A44" zoomScaleNormal="100" workbookViewId="0">
      <selection activeCell="F61" sqref="F61"/>
    </sheetView>
  </sheetViews>
  <sheetFormatPr defaultRowHeight="11" x14ac:dyDescent="0.25"/>
  <cols>
    <col min="1" max="1" width="4.5546875" customWidth="1"/>
    <col min="2" max="2" width="16" bestFit="1" customWidth="1"/>
    <col min="3" max="3" width="16.21875" bestFit="1" customWidth="1"/>
    <col min="4" max="4" width="14.33203125" bestFit="1" customWidth="1"/>
    <col min="7" max="7" width="15.33203125" bestFit="1" customWidth="1"/>
    <col min="8" max="8" width="20.6640625" bestFit="1" customWidth="1"/>
    <col min="9" max="9" width="29.77734375" bestFit="1" customWidth="1"/>
    <col min="10" max="10" width="24.33203125" bestFit="1" customWidth="1"/>
    <col min="11" max="11" width="15.5546875" bestFit="1" customWidth="1"/>
  </cols>
  <sheetData>
    <row r="1" spans="1:11" x14ac:dyDescent="0.25">
      <c r="C1" t="s">
        <v>3</v>
      </c>
      <c r="D1" t="s">
        <v>2</v>
      </c>
    </row>
    <row r="2" spans="1:11" x14ac:dyDescent="0.25">
      <c r="B2" t="s">
        <v>4</v>
      </c>
      <c r="C2" s="6">
        <f t="array" ref="C2:D2">LINEST(B7:B30,D7:D30,1,0)</f>
        <v>8424078.6637654975</v>
      </c>
      <c r="D2" s="6">
        <v>83857228.705035955</v>
      </c>
    </row>
    <row r="5" spans="1:11" ht="11.5" thickBot="1" x14ac:dyDescent="0.3"/>
    <row r="6" spans="1:11" ht="11.5" thickBot="1" x14ac:dyDescent="0.3">
      <c r="B6" s="1" t="s">
        <v>0</v>
      </c>
      <c r="C6" s="1" t="s">
        <v>1</v>
      </c>
      <c r="G6" s="8" t="s">
        <v>5</v>
      </c>
      <c r="H6" s="9" t="s">
        <v>6</v>
      </c>
      <c r="I6" s="9" t="s">
        <v>7</v>
      </c>
      <c r="J6" s="9" t="s">
        <v>8</v>
      </c>
      <c r="K6" s="10" t="s">
        <v>9</v>
      </c>
    </row>
    <row r="7" spans="1:11" x14ac:dyDescent="0.25">
      <c r="A7" s="14" t="s">
        <v>10</v>
      </c>
      <c r="B7" s="12">
        <v>96812334.849984095</v>
      </c>
      <c r="C7" s="4">
        <v>42370</v>
      </c>
      <c r="D7">
        <v>1</v>
      </c>
      <c r="G7" s="6">
        <f>D7*$C$2+$D$2</f>
        <v>92281307.368801445</v>
      </c>
      <c r="H7">
        <f>B7/G7</f>
        <v>1.0491001656822485</v>
      </c>
      <c r="I7">
        <f>AVERAGE(H7,H19)</f>
        <v>0.98271619184090664</v>
      </c>
      <c r="J7">
        <f>AVERAGE(I7:I18)</f>
        <v>1.0016736001422146</v>
      </c>
      <c r="K7">
        <f>I7/$J$7</f>
        <v>0.98107426581012369</v>
      </c>
    </row>
    <row r="8" spans="1:11" x14ac:dyDescent="0.25">
      <c r="A8" s="15"/>
      <c r="B8" s="13">
        <v>95436534.199983999</v>
      </c>
      <c r="C8" s="5">
        <v>42401</v>
      </c>
      <c r="D8">
        <v>2</v>
      </c>
      <c r="G8" s="6">
        <f t="shared" ref="G8:G42" si="0">D8*$C$2+$D$2</f>
        <v>100705386.03256695</v>
      </c>
      <c r="H8">
        <f t="shared" ref="H8:H30" si="1">B8/G8</f>
        <v>0.94768053586648215</v>
      </c>
      <c r="I8">
        <f t="shared" ref="I8:I18" si="2">AVERAGE(H8,H20)</f>
        <v>0.87429170183079086</v>
      </c>
      <c r="K8">
        <f t="shared" ref="K8:K18" si="3">I8/$J$7</f>
        <v>0.8728309318591021</v>
      </c>
    </row>
    <row r="9" spans="1:11" x14ac:dyDescent="0.25">
      <c r="A9" s="15"/>
      <c r="B9" s="12">
        <v>115270625.399986</v>
      </c>
      <c r="C9" s="4">
        <v>42430</v>
      </c>
      <c r="D9">
        <v>3</v>
      </c>
      <c r="G9" s="6">
        <f t="shared" si="0"/>
        <v>109129464.69633245</v>
      </c>
      <c r="H9">
        <f t="shared" si="1"/>
        <v>1.0562740843707257</v>
      </c>
      <c r="I9">
        <f t="shared" si="2"/>
        <v>1.0390088277906482</v>
      </c>
      <c r="K9">
        <f t="shared" si="3"/>
        <v>1.0372728478050464</v>
      </c>
    </row>
    <row r="10" spans="1:11" x14ac:dyDescent="0.25">
      <c r="A10" s="15"/>
      <c r="B10" s="13">
        <v>139324024.69998801</v>
      </c>
      <c r="C10" s="5">
        <v>42461</v>
      </c>
      <c r="D10">
        <v>4</v>
      </c>
      <c r="G10" s="6">
        <f t="shared" si="0"/>
        <v>117553543.36009794</v>
      </c>
      <c r="H10">
        <f t="shared" si="1"/>
        <v>1.1851963004909283</v>
      </c>
      <c r="I10">
        <f t="shared" si="2"/>
        <v>1.0446173659936522</v>
      </c>
      <c r="K10">
        <f t="shared" si="3"/>
        <v>1.0428720152406339</v>
      </c>
    </row>
    <row r="11" spans="1:11" x14ac:dyDescent="0.25">
      <c r="A11" s="15"/>
      <c r="B11" s="12">
        <v>108587360.699985</v>
      </c>
      <c r="C11" s="4">
        <v>42491</v>
      </c>
      <c r="D11">
        <v>5</v>
      </c>
      <c r="G11" s="6">
        <f t="shared" si="0"/>
        <v>125977622.02386343</v>
      </c>
      <c r="H11">
        <f t="shared" si="1"/>
        <v>0.86195753623144056</v>
      </c>
      <c r="I11">
        <f t="shared" si="2"/>
        <v>0.90897858163842482</v>
      </c>
      <c r="K11">
        <f t="shared" si="3"/>
        <v>0.90745985669320905</v>
      </c>
    </row>
    <row r="12" spans="1:11" x14ac:dyDescent="0.25">
      <c r="A12" s="15"/>
      <c r="B12" s="13">
        <v>116676502.599988</v>
      </c>
      <c r="C12" s="5">
        <v>42522</v>
      </c>
      <c r="D12">
        <v>6</v>
      </c>
      <c r="G12" s="6">
        <f t="shared" si="0"/>
        <v>134401700.68762892</v>
      </c>
      <c r="H12">
        <f t="shared" si="1"/>
        <v>0.86811775448558404</v>
      </c>
      <c r="I12">
        <f t="shared" si="2"/>
        <v>0.82565511575135309</v>
      </c>
      <c r="K12">
        <f t="shared" si="3"/>
        <v>0.82427560797661936</v>
      </c>
    </row>
    <row r="13" spans="1:11" x14ac:dyDescent="0.25">
      <c r="A13" s="15"/>
      <c r="B13" s="12">
        <v>113191827.699985</v>
      </c>
      <c r="C13" s="4">
        <v>42552</v>
      </c>
      <c r="D13">
        <v>7</v>
      </c>
      <c r="G13" s="6">
        <f t="shared" si="0"/>
        <v>142825779.35139444</v>
      </c>
      <c r="H13">
        <f t="shared" si="1"/>
        <v>0.79251678663344804</v>
      </c>
      <c r="I13">
        <f t="shared" si="2"/>
        <v>0.78005214478493046</v>
      </c>
      <c r="K13">
        <f t="shared" si="3"/>
        <v>0.77874883063123657</v>
      </c>
    </row>
    <row r="14" spans="1:11" x14ac:dyDescent="0.25">
      <c r="A14" s="15"/>
      <c r="B14" s="13">
        <v>139561926.69998401</v>
      </c>
      <c r="C14" s="5">
        <v>42583</v>
      </c>
      <c r="D14">
        <v>8</v>
      </c>
      <c r="G14" s="6">
        <f t="shared" si="0"/>
        <v>151249858.01515993</v>
      </c>
      <c r="H14">
        <f t="shared" si="1"/>
        <v>0.92272434851473095</v>
      </c>
      <c r="I14">
        <f t="shared" si="2"/>
        <v>0.86925790429262506</v>
      </c>
      <c r="K14">
        <f t="shared" si="3"/>
        <v>0.86780554480941741</v>
      </c>
    </row>
    <row r="15" spans="1:11" x14ac:dyDescent="0.25">
      <c r="A15" s="15"/>
      <c r="B15" s="12">
        <v>151480933.79999399</v>
      </c>
      <c r="C15" s="4">
        <v>42614</v>
      </c>
      <c r="D15">
        <v>9</v>
      </c>
      <c r="G15" s="6">
        <f t="shared" si="0"/>
        <v>159673936.67892542</v>
      </c>
      <c r="H15">
        <f t="shared" si="1"/>
        <v>0.94868916587554275</v>
      </c>
      <c r="I15">
        <f t="shared" si="2"/>
        <v>0.88015805316257834</v>
      </c>
      <c r="K15">
        <f t="shared" si="3"/>
        <v>0.87868748166829602</v>
      </c>
    </row>
    <row r="16" spans="1:11" x14ac:dyDescent="0.25">
      <c r="A16" s="15"/>
      <c r="B16" s="13">
        <v>211633380.70003501</v>
      </c>
      <c r="C16" s="5">
        <v>42644</v>
      </c>
      <c r="D16">
        <v>10</v>
      </c>
      <c r="G16" s="6">
        <f t="shared" si="0"/>
        <v>168098015.34269094</v>
      </c>
      <c r="H16">
        <f t="shared" si="1"/>
        <v>1.2589879795343879</v>
      </c>
      <c r="I16">
        <f t="shared" si="2"/>
        <v>1.1499758586149995</v>
      </c>
      <c r="K16">
        <f t="shared" si="3"/>
        <v>1.1480544744832342</v>
      </c>
    </row>
    <row r="17" spans="1:11" x14ac:dyDescent="0.25">
      <c r="A17" s="15"/>
      <c r="B17" s="12">
        <v>256654031.900067</v>
      </c>
      <c r="C17" s="4">
        <v>42675</v>
      </c>
      <c r="D17">
        <v>11</v>
      </c>
      <c r="G17" s="6">
        <f t="shared" si="0"/>
        <v>176522094.00645643</v>
      </c>
      <c r="H17">
        <f t="shared" si="1"/>
        <v>1.4539484892507546</v>
      </c>
      <c r="I17">
        <f t="shared" si="2"/>
        <v>1.3144045404147424</v>
      </c>
      <c r="K17">
        <f t="shared" si="3"/>
        <v>1.3122084282026871</v>
      </c>
    </row>
    <row r="18" spans="1:11" x14ac:dyDescent="0.25">
      <c r="A18" s="15"/>
      <c r="B18" s="13">
        <v>258956653.90007901</v>
      </c>
      <c r="C18" s="5">
        <v>42705</v>
      </c>
      <c r="D18">
        <v>12</v>
      </c>
      <c r="G18" s="6">
        <f t="shared" si="0"/>
        <v>184946172.67022192</v>
      </c>
      <c r="H18">
        <f t="shared" si="1"/>
        <v>1.4001730890740054</v>
      </c>
      <c r="I18">
        <f t="shared" si="2"/>
        <v>1.3509669155909276</v>
      </c>
      <c r="K18">
        <f t="shared" si="3"/>
        <v>1.3487097148203979</v>
      </c>
    </row>
    <row r="19" spans="1:11" x14ac:dyDescent="0.25">
      <c r="A19" s="15"/>
      <c r="B19" s="13">
        <v>177191391.300006</v>
      </c>
      <c r="C19" s="3">
        <v>42736</v>
      </c>
      <c r="D19">
        <v>13</v>
      </c>
      <c r="G19" s="6">
        <f t="shared" si="0"/>
        <v>193370251.33398741</v>
      </c>
      <c r="H19">
        <f t="shared" si="1"/>
        <v>0.91633221799956488</v>
      </c>
    </row>
    <row r="20" spans="1:11" x14ac:dyDescent="0.25">
      <c r="A20" s="15"/>
      <c r="B20" s="13">
        <v>161617657.59999099</v>
      </c>
      <c r="C20" s="2">
        <v>42767</v>
      </c>
      <c r="D20">
        <v>14</v>
      </c>
      <c r="G20" s="6">
        <f t="shared" si="0"/>
        <v>201794329.9977529</v>
      </c>
      <c r="H20">
        <f t="shared" si="1"/>
        <v>0.80090286779509956</v>
      </c>
    </row>
    <row r="21" spans="1:11" x14ac:dyDescent="0.25">
      <c r="A21" s="15"/>
      <c r="B21" s="13">
        <v>214789307.600023</v>
      </c>
      <c r="C21" s="3">
        <v>42795</v>
      </c>
      <c r="D21">
        <v>15</v>
      </c>
      <c r="G21" s="6">
        <f t="shared" si="0"/>
        <v>210218408.66151842</v>
      </c>
      <c r="H21">
        <f t="shared" si="1"/>
        <v>1.0217435712105707</v>
      </c>
    </row>
    <row r="22" spans="1:11" x14ac:dyDescent="0.25">
      <c r="A22" s="15"/>
      <c r="B22" s="13">
        <v>197661211.30001599</v>
      </c>
      <c r="C22" s="2">
        <v>42826</v>
      </c>
      <c r="D22">
        <v>16</v>
      </c>
      <c r="G22" s="6">
        <f t="shared" si="0"/>
        <v>218642487.32528391</v>
      </c>
      <c r="H22">
        <f t="shared" si="1"/>
        <v>0.90403843149637619</v>
      </c>
    </row>
    <row r="23" spans="1:11" x14ac:dyDescent="0.25">
      <c r="A23" s="15"/>
      <c r="B23" s="13">
        <v>217075552.400013</v>
      </c>
      <c r="C23" s="3">
        <v>42856</v>
      </c>
      <c r="D23">
        <v>17</v>
      </c>
      <c r="G23" s="6">
        <f t="shared" si="0"/>
        <v>227066565.9890494</v>
      </c>
      <c r="H23">
        <f t="shared" si="1"/>
        <v>0.95599962704540908</v>
      </c>
    </row>
    <row r="24" spans="1:11" x14ac:dyDescent="0.25">
      <c r="A24" s="15"/>
      <c r="B24" s="13">
        <v>184434501.299997</v>
      </c>
      <c r="C24" s="2">
        <v>42887</v>
      </c>
      <c r="D24">
        <v>18</v>
      </c>
      <c r="G24" s="6">
        <f t="shared" si="0"/>
        <v>235490644.65281489</v>
      </c>
      <c r="H24">
        <f t="shared" si="1"/>
        <v>0.78319247701712214</v>
      </c>
    </row>
    <row r="25" spans="1:11" x14ac:dyDescent="0.25">
      <c r="A25" s="15"/>
      <c r="B25" s="13">
        <v>187225893.40000001</v>
      </c>
      <c r="C25" s="3">
        <v>42917</v>
      </c>
      <c r="D25">
        <v>19</v>
      </c>
      <c r="G25" s="6">
        <f t="shared" si="0"/>
        <v>243914723.31658041</v>
      </c>
      <c r="H25">
        <f t="shared" si="1"/>
        <v>0.76758750293641287</v>
      </c>
    </row>
    <row r="26" spans="1:11" x14ac:dyDescent="0.25">
      <c r="A26" s="15"/>
      <c r="B26" s="13">
        <v>205855839.699992</v>
      </c>
      <c r="C26" s="2">
        <v>42948</v>
      </c>
      <c r="D26">
        <v>20</v>
      </c>
      <c r="G26" s="6">
        <f t="shared" si="0"/>
        <v>252338801.9803459</v>
      </c>
      <c r="H26">
        <f t="shared" si="1"/>
        <v>0.81579146007051917</v>
      </c>
    </row>
    <row r="27" spans="1:11" x14ac:dyDescent="0.25">
      <c r="A27" s="15"/>
      <c r="B27" s="13">
        <v>211642179.00000799</v>
      </c>
      <c r="C27" s="3">
        <v>42979</v>
      </c>
      <c r="D27">
        <v>21</v>
      </c>
      <c r="G27" s="6">
        <f t="shared" si="0"/>
        <v>260762880.64411139</v>
      </c>
      <c r="H27">
        <f t="shared" si="1"/>
        <v>0.81162694044961392</v>
      </c>
    </row>
    <row r="28" spans="1:11" x14ac:dyDescent="0.25">
      <c r="A28" s="15"/>
      <c r="B28" s="13">
        <v>280213863.300044</v>
      </c>
      <c r="C28" s="2">
        <v>43009</v>
      </c>
      <c r="D28">
        <v>22</v>
      </c>
      <c r="G28" s="6">
        <f t="shared" si="0"/>
        <v>269186959.30787694</v>
      </c>
      <c r="H28">
        <f t="shared" si="1"/>
        <v>1.0409637376956113</v>
      </c>
    </row>
    <row r="29" spans="1:11" x14ac:dyDescent="0.25">
      <c r="A29" s="15"/>
      <c r="B29" s="13">
        <v>326154268.30014902</v>
      </c>
      <c r="C29" s="3">
        <v>43040</v>
      </c>
      <c r="D29">
        <v>23</v>
      </c>
      <c r="G29" s="6">
        <f t="shared" si="0"/>
        <v>277611037.97164237</v>
      </c>
      <c r="H29">
        <f t="shared" si="1"/>
        <v>1.17486059157873</v>
      </c>
    </row>
    <row r="30" spans="1:11" ht="11.5" thickBot="1" x14ac:dyDescent="0.3">
      <c r="A30" s="16"/>
      <c r="B30" s="13">
        <v>372349285.70021403</v>
      </c>
      <c r="C30" s="2">
        <v>43070</v>
      </c>
      <c r="D30">
        <v>24</v>
      </c>
      <c r="G30" s="6">
        <f t="shared" si="0"/>
        <v>286035116.63540792</v>
      </c>
      <c r="H30">
        <f t="shared" si="1"/>
        <v>1.3017607421078499</v>
      </c>
    </row>
    <row r="31" spans="1:11" ht="11" customHeight="1" x14ac:dyDescent="0.25">
      <c r="A31" s="20" t="s">
        <v>11</v>
      </c>
      <c r="B31" s="17">
        <f>G31*K7</f>
        <v>288886338.8391763</v>
      </c>
      <c r="D31" s="18">
        <v>25</v>
      </c>
      <c r="E31" s="18"/>
      <c r="F31" s="18"/>
      <c r="G31" s="19">
        <f t="shared" si="0"/>
        <v>294459195.29917336</v>
      </c>
    </row>
    <row r="32" spans="1:11" x14ac:dyDescent="0.25">
      <c r="A32" s="20"/>
      <c r="B32" s="17">
        <f t="shared" ref="B32:B42" si="4">G32*K8</f>
        <v>264365890.25760767</v>
      </c>
      <c r="D32" s="18">
        <v>26</v>
      </c>
      <c r="E32" s="18"/>
      <c r="F32" s="18"/>
      <c r="G32" s="19">
        <f t="shared" si="0"/>
        <v>302883273.9629389</v>
      </c>
    </row>
    <row r="33" spans="1:7" x14ac:dyDescent="0.25">
      <c r="A33" s="20"/>
      <c r="B33" s="17">
        <f t="shared" si="4"/>
        <v>322910664.20175147</v>
      </c>
      <c r="D33" s="18">
        <v>27</v>
      </c>
      <c r="E33" s="18"/>
      <c r="F33" s="18"/>
      <c r="G33" s="19">
        <f t="shared" si="0"/>
        <v>311307352.62670439</v>
      </c>
    </row>
    <row r="34" spans="1:7" x14ac:dyDescent="0.25">
      <c r="A34" s="20"/>
      <c r="B34" s="17">
        <f t="shared" si="4"/>
        <v>333438962.08566457</v>
      </c>
      <c r="D34" s="18">
        <v>28</v>
      </c>
      <c r="E34" s="18"/>
      <c r="F34" s="18"/>
      <c r="G34" s="19">
        <f t="shared" si="0"/>
        <v>319731431.29046988</v>
      </c>
    </row>
    <row r="35" spans="1:7" x14ac:dyDescent="0.25">
      <c r="A35" s="20"/>
      <c r="B35" s="17">
        <f t="shared" si="4"/>
        <v>297787952.03615737</v>
      </c>
      <c r="D35" s="18">
        <v>29</v>
      </c>
      <c r="E35" s="18"/>
      <c r="F35" s="18"/>
      <c r="G35" s="19">
        <f t="shared" si="0"/>
        <v>328155509.95423537</v>
      </c>
    </row>
    <row r="36" spans="1:7" x14ac:dyDescent="0.25">
      <c r="A36" s="20"/>
      <c r="B36" s="17">
        <f t="shared" si="4"/>
        <v>277434345.04062307</v>
      </c>
      <c r="D36" s="18">
        <v>30</v>
      </c>
      <c r="E36" s="18"/>
      <c r="F36" s="18"/>
      <c r="G36" s="19">
        <f t="shared" si="0"/>
        <v>336579588.61800086</v>
      </c>
    </row>
    <row r="37" spans="1:7" x14ac:dyDescent="0.25">
      <c r="A37" s="20"/>
      <c r="B37" s="17">
        <f t="shared" si="4"/>
        <v>268671202.45916378</v>
      </c>
      <c r="D37" s="18">
        <v>31</v>
      </c>
      <c r="E37" s="18"/>
      <c r="F37" s="18"/>
      <c r="G37" s="19">
        <f t="shared" si="0"/>
        <v>345003667.28176641</v>
      </c>
    </row>
    <row r="38" spans="1:7" x14ac:dyDescent="0.25">
      <c r="A38" s="20"/>
      <c r="B38" s="17">
        <f t="shared" si="4"/>
        <v>306706557.62102664</v>
      </c>
      <c r="D38" s="18">
        <v>32</v>
      </c>
      <c r="E38" s="18"/>
      <c r="F38" s="18"/>
      <c r="G38" s="19">
        <f t="shared" si="0"/>
        <v>353427745.94553185</v>
      </c>
    </row>
    <row r="39" spans="1:7" x14ac:dyDescent="0.25">
      <c r="A39" s="20"/>
      <c r="B39" s="17">
        <f t="shared" si="4"/>
        <v>317954668.50302148</v>
      </c>
      <c r="D39" s="18">
        <v>33</v>
      </c>
      <c r="E39" s="18"/>
      <c r="F39" s="18"/>
      <c r="G39" s="19">
        <f t="shared" si="0"/>
        <v>361851824.60929739</v>
      </c>
    </row>
    <row r="40" spans="1:7" x14ac:dyDescent="0.25">
      <c r="A40" s="20"/>
      <c r="B40" s="17">
        <f t="shared" si="4"/>
        <v>425096907.54596096</v>
      </c>
      <c r="D40" s="18">
        <v>34</v>
      </c>
      <c r="E40" s="18"/>
      <c r="F40" s="18"/>
      <c r="G40" s="19">
        <f t="shared" si="0"/>
        <v>370275903.27306283</v>
      </c>
    </row>
    <row r="41" spans="1:7" x14ac:dyDescent="0.25">
      <c r="A41" s="20"/>
      <c r="B41" s="17">
        <f t="shared" si="4"/>
        <v>496933308.05771154</v>
      </c>
      <c r="D41" s="18">
        <v>35</v>
      </c>
      <c r="E41" s="18"/>
      <c r="F41" s="18"/>
      <c r="G41" s="19">
        <f t="shared" si="0"/>
        <v>378699981.93682837</v>
      </c>
    </row>
    <row r="42" spans="1:7" ht="11.5" thickBot="1" x14ac:dyDescent="0.3">
      <c r="A42" s="21"/>
      <c r="B42" s="17">
        <f t="shared" si="4"/>
        <v>522117981.37274134</v>
      </c>
      <c r="D42" s="18">
        <v>36</v>
      </c>
      <c r="E42" s="18"/>
      <c r="F42" s="18"/>
      <c r="G42" s="19">
        <f t="shared" si="0"/>
        <v>387124060.60059381</v>
      </c>
    </row>
    <row r="43" spans="1:7" x14ac:dyDescent="0.25">
      <c r="A43" s="11"/>
      <c r="B43" s="7"/>
    </row>
    <row r="50" spans="2:7" ht="33" x14ac:dyDescent="0.25">
      <c r="B50" s="22" t="s">
        <v>11</v>
      </c>
      <c r="C50" s="22" t="s">
        <v>12</v>
      </c>
      <c r="D50" s="22" t="s">
        <v>25</v>
      </c>
    </row>
    <row r="51" spans="2:7" x14ac:dyDescent="0.25">
      <c r="B51" s="6">
        <v>288886338.8391763</v>
      </c>
      <c r="C51" s="6" t="s">
        <v>13</v>
      </c>
      <c r="D51" s="24">
        <f>C51/B51</f>
        <v>0.88892710895187244</v>
      </c>
    </row>
    <row r="52" spans="2:7" x14ac:dyDescent="0.25">
      <c r="B52" s="6">
        <v>264365890.25760767</v>
      </c>
      <c r="C52" s="6" t="s">
        <v>14</v>
      </c>
      <c r="D52" s="24">
        <f t="shared" ref="D52:D62" si="5">C52/B52</f>
        <v>0.87999407099496374</v>
      </c>
    </row>
    <row r="53" spans="2:7" x14ac:dyDescent="0.25">
      <c r="B53" s="6">
        <v>322910664.20175147</v>
      </c>
      <c r="C53" s="6" t="s">
        <v>15</v>
      </c>
      <c r="D53" s="24">
        <f t="shared" si="5"/>
        <v>0.8299351917115978</v>
      </c>
    </row>
    <row r="54" spans="2:7" x14ac:dyDescent="0.25">
      <c r="B54" s="6">
        <v>333438962.08566457</v>
      </c>
      <c r="C54" s="6" t="s">
        <v>16</v>
      </c>
      <c r="D54" s="24">
        <f t="shared" si="5"/>
        <v>0.78829876495498064</v>
      </c>
    </row>
    <row r="55" spans="2:7" x14ac:dyDescent="0.25">
      <c r="B55" s="6">
        <v>297787952.03615737</v>
      </c>
      <c r="C55" s="6" t="s">
        <v>17</v>
      </c>
      <c r="D55" s="24">
        <f t="shared" si="5"/>
        <v>0.92996727069191443</v>
      </c>
    </row>
    <row r="56" spans="2:7" x14ac:dyDescent="0.25">
      <c r="B56" s="6">
        <v>277434345.04062307</v>
      </c>
      <c r="C56" s="6" t="s">
        <v>18</v>
      </c>
      <c r="D56" s="24">
        <f t="shared" si="5"/>
        <v>0.90647062808022694</v>
      </c>
    </row>
    <row r="57" spans="2:7" x14ac:dyDescent="0.25">
      <c r="B57" s="6">
        <v>268671202.45916378</v>
      </c>
      <c r="C57" s="6" t="s">
        <v>19</v>
      </c>
      <c r="D57" s="24">
        <f t="shared" si="5"/>
        <v>0.9325888882269896</v>
      </c>
    </row>
    <row r="58" spans="2:7" x14ac:dyDescent="0.25">
      <c r="B58" s="6">
        <v>306706557.62102664</v>
      </c>
      <c r="C58" s="6" t="s">
        <v>20</v>
      </c>
      <c r="D58" s="24">
        <f t="shared" si="5"/>
        <v>0.85333926678996164</v>
      </c>
    </row>
    <row r="59" spans="2:7" x14ac:dyDescent="0.25">
      <c r="B59" s="6">
        <v>317954668.50302148</v>
      </c>
      <c r="C59" s="6" t="s">
        <v>21</v>
      </c>
      <c r="D59" s="24">
        <f t="shared" si="5"/>
        <v>0.87017280262821739</v>
      </c>
    </row>
    <row r="60" spans="2:7" x14ac:dyDescent="0.25">
      <c r="B60" s="6">
        <v>425096907.54596096</v>
      </c>
      <c r="C60" s="6" t="s">
        <v>22</v>
      </c>
      <c r="D60" s="24">
        <f t="shared" si="5"/>
        <v>0.67666344754319319</v>
      </c>
    </row>
    <row r="61" spans="2:7" x14ac:dyDescent="0.25">
      <c r="B61" s="6">
        <v>496933308.05771154</v>
      </c>
      <c r="C61" s="6" t="s">
        <v>23</v>
      </c>
      <c r="D61" s="24">
        <f t="shared" si="5"/>
        <v>0.73068680064776603</v>
      </c>
    </row>
    <row r="62" spans="2:7" x14ac:dyDescent="0.25">
      <c r="B62" s="6">
        <v>522117981.37274134</v>
      </c>
      <c r="C62" s="6" t="s">
        <v>24</v>
      </c>
      <c r="D62" s="24">
        <f t="shared" si="5"/>
        <v>0.80898583666755108</v>
      </c>
    </row>
    <row r="64" spans="2:7" x14ac:dyDescent="0.25">
      <c r="C64" s="23" t="s">
        <v>26</v>
      </c>
      <c r="D64" s="25" t="s">
        <v>27</v>
      </c>
      <c r="E64" s="25"/>
      <c r="F64" s="25"/>
      <c r="G64" s="25"/>
    </row>
  </sheetData>
  <mergeCells count="3">
    <mergeCell ref="A7:A30"/>
    <mergeCell ref="A31:A42"/>
    <mergeCell ref="D64:G64"/>
  </mergeCells>
  <pageMargins left="0.78740157480314965" right="0.39370078740157483" top="0.78740157480314965" bottom="0.78740157480314965" header="0.39370078740157483" footer="0.39370078740157483"/>
  <pageSetup paperSize="9" orientation="portrait" useFirstPageNumber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Part 1</vt:lpstr>
    </vt:vector>
  </TitlesOfParts>
  <Company>Devart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cp:lastPrinted>2020-05-18T19:23:06Z</cp:lastPrinted>
  <dcterms:modified xsi:type="dcterms:W3CDTF">2020-05-18T20:00:12Z</dcterms:modified>
</cp:coreProperties>
</file>